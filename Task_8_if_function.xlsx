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\DA Class\Assignment\"/>
    </mc:Choice>
  </mc:AlternateContent>
  <xr:revisionPtr revIDLastSave="0" documentId="13_ncr:1_{3E951571-CA4E-43A6-8FBA-1FA0AEA70971}" xr6:coauthVersionLast="47" xr6:coauthVersionMax="47" xr10:uidLastSave="{00000000-0000-0000-0000-000000000000}"/>
  <bookViews>
    <workbookView xWindow="-120" yWindow="-120" windowWidth="20730" windowHeight="11040" xr2:uid="{E61EE7C3-8E02-459D-B79E-C6DB2DCB7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3" i="1"/>
  <c r="J13" i="1"/>
  <c r="J14" i="1"/>
  <c r="J15" i="1"/>
  <c r="J16" i="1"/>
  <c r="J12" i="1"/>
  <c r="J4" i="1"/>
  <c r="J5" i="1"/>
  <c r="J6" i="1"/>
  <c r="J7" i="1"/>
  <c r="J3" i="1"/>
  <c r="C13" i="1"/>
  <c r="C14" i="1"/>
  <c r="C15" i="1"/>
  <c r="C16" i="1"/>
  <c r="C12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<sst xmlns="http://schemas.openxmlformats.org/spreadsheetml/2006/main" count="84" uniqueCount="57">
  <si>
    <t>Biryani House</t>
  </si>
  <si>
    <t>Pizza Corner</t>
  </si>
  <si>
    <t>Burger Hub</t>
  </si>
  <si>
    <t>Thali Ghar</t>
  </si>
  <si>
    <t>Pasta Point</t>
  </si>
  <si>
    <t>Order ID</t>
  </si>
  <si>
    <t>Restaurant</t>
  </si>
  <si>
    <t>Total Amount</t>
  </si>
  <si>
    <t>Order Type</t>
  </si>
  <si>
    <t>Player</t>
  </si>
  <si>
    <t>Virat</t>
  </si>
  <si>
    <t>Rohit</t>
  </si>
  <si>
    <t>Gill</t>
  </si>
  <si>
    <t>Rinku</t>
  </si>
  <si>
    <t>Jadeja</t>
  </si>
  <si>
    <t>Total Runs</t>
  </si>
  <si>
    <t>IF FUNCTION</t>
  </si>
  <si>
    <t>Nested IF</t>
  </si>
  <si>
    <t>Rating</t>
  </si>
  <si>
    <t>IF + AND</t>
  </si>
  <si>
    <t>F1</t>
  </si>
  <si>
    <t>Earbuds</t>
  </si>
  <si>
    <t>Prepaid</t>
  </si>
  <si>
    <t>Delivered</t>
  </si>
  <si>
    <t>F2</t>
  </si>
  <si>
    <t>Shoes</t>
  </si>
  <si>
    <t>COD</t>
  </si>
  <si>
    <t>F3</t>
  </si>
  <si>
    <t>Watch</t>
  </si>
  <si>
    <t>Cancelled</t>
  </si>
  <si>
    <t>F4</t>
  </si>
  <si>
    <t>Backpack</t>
  </si>
  <si>
    <t>F5</t>
  </si>
  <si>
    <t>Mouse</t>
  </si>
  <si>
    <t>Pending</t>
  </si>
  <si>
    <t>Product</t>
  </si>
  <si>
    <t>Payment Method</t>
  </si>
  <si>
    <t>Order Status</t>
  </si>
  <si>
    <t>IF + OR</t>
  </si>
  <si>
    <t>Song Name</t>
  </si>
  <si>
    <t>Kesariya</t>
  </si>
  <si>
    <t>Arijit Singh</t>
  </si>
  <si>
    <t>Yes</t>
  </si>
  <si>
    <t>No</t>
  </si>
  <si>
    <t>Apna Bana Le</t>
  </si>
  <si>
    <t>Tum Hi Ho</t>
  </si>
  <si>
    <t>Maan Meri Jaan</t>
  </si>
  <si>
    <t>King</t>
  </si>
  <si>
    <t>Heeriye</t>
  </si>
  <si>
    <t>Jasleen Royal</t>
  </si>
  <si>
    <t>Artist</t>
  </si>
  <si>
    <t>Favorite</t>
  </si>
  <si>
    <t>Downloaded</t>
  </si>
  <si>
    <t>Cash</t>
  </si>
  <si>
    <t>Online</t>
  </si>
  <si>
    <t>Address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</si>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</sst>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8E6A-FD41-4C3F-B3CB-F7B587E1521A}">
  <dimension ref="A1:O16"/>
  <sheetViews>
    <sheetView tabSelected="1" workbookViewId="0">
      <selection activeCell="P12" sqref="P12"/>
    </sheetView>
  </sheetViews>
  <sheetFormatPr defaultRowHeight="15" x14ac:dyDescent="0.25"/>
  <cols>
    <col min="1" max="1" width="8.42578125" bestFit="1" customWidth="1"/>
    <col min="2" max="2" width="13.28515625" bestFit="1" customWidth="1"/>
    <col min="3" max="3" width="13.140625" bestFit="1" customWidth="1"/>
    <col min="4" max="4" width="10.85546875" bestFit="1" customWidth="1"/>
    <col min="6" max="6" width="8.42578125" bestFit="1" customWidth="1"/>
    <col min="7" max="7" width="9" bestFit="1" customWidth="1"/>
    <col min="8" max="8" width="16.5703125" bestFit="1" customWidth="1"/>
    <col min="9" max="9" width="12" bestFit="1" customWidth="1"/>
  </cols>
  <sheetData>
    <row r="1" spans="1:15" x14ac:dyDescent="0.25">
      <c r="A1" s="6" t="s">
        <v>16</v>
      </c>
      <c r="B1" s="6"/>
      <c r="C1" s="6"/>
      <c r="D1" s="6"/>
      <c r="F1" s="6" t="s">
        <v>19</v>
      </c>
      <c r="G1" s="6"/>
      <c r="H1" s="6"/>
      <c r="I1" s="6"/>
      <c r="L1" s="6" t="s">
        <v>38</v>
      </c>
      <c r="M1" s="6"/>
      <c r="N1" s="6"/>
      <c r="O1" s="6"/>
    </row>
    <row r="2" spans="1:15" x14ac:dyDescent="0.25">
      <c r="A2" s="3" t="s">
        <v>5</v>
      </c>
      <c r="B2" s="3" t="s">
        <v>6</v>
      </c>
      <c r="C2" s="3" t="s">
        <v>7</v>
      </c>
      <c r="D2" s="4" t="s">
        <v>8</v>
      </c>
      <c r="F2" s="3" t="s">
        <v>5</v>
      </c>
      <c r="G2" s="3" t="s">
        <v>35</v>
      </c>
      <c r="H2" s="3" t="s">
        <v>36</v>
      </c>
      <c r="I2" s="3" t="s">
        <v>37</v>
      </c>
      <c r="J2" s="4"/>
      <c r="L2" s="3" t="s">
        <v>5</v>
      </c>
      <c r="M2" s="3" t="s">
        <v>55</v>
      </c>
      <c r="N2" s="3" t="s">
        <v>36</v>
      </c>
      <c r="O2" s="3" t="s">
        <v>56</v>
      </c>
    </row>
    <row r="3" spans="1:15" x14ac:dyDescent="0.25">
      <c r="A3" s="2">
        <v>101</v>
      </c>
      <c r="B3" s="2" t="s">
        <v>0</v>
      </c>
      <c r="C3" s="2">
        <v>650</v>
      </c>
      <c r="D3" t="str">
        <f>IF(C3&gt;=500,"High value","Regular")</f>
        <v>High value</v>
      </c>
      <c r="F3" s="2" t="s">
        <v>20</v>
      </c>
      <c r="G3" s="2" t="s">
        <v>21</v>
      </c>
      <c r="H3" s="2" t="s">
        <v>22</v>
      </c>
      <c r="I3" s="2" t="s">
        <v>23</v>
      </c>
      <c r="J3" t="str">
        <f>IF(AND(H3="Prepaid",I3="Delivered"),"Eligible","Not Eligible")</f>
        <v>Eligible</v>
      </c>
      <c r="L3" s="2">
        <v>101</v>
      </c>
      <c r="M3" s="2" t="s">
        <v>42</v>
      </c>
      <c r="N3" s="2" t="s">
        <v>53</v>
      </c>
      <c r="O3" t="str">
        <f>IF(_xlfn.XOR(M3="Yes",N3="Cash"),"Suspicious","ok")</f>
        <v>ok</v>
      </c>
    </row>
    <row r="4" spans="1:15" x14ac:dyDescent="0.25">
      <c r="A4" s="2">
        <v>102</v>
      </c>
      <c r="B4" s="2" t="s">
        <v>1</v>
      </c>
      <c r="C4" s="2">
        <v>480</v>
      </c>
      <c r="D4" t="str">
        <f t="shared" ref="D4:D7" si="0">IF(C4&gt;=500,"High value","Regular")</f>
        <v>Regular</v>
      </c>
      <c r="F4" s="2" t="s">
        <v>24</v>
      </c>
      <c r="G4" s="2" t="s">
        <v>25</v>
      </c>
      <c r="H4" s="2" t="s">
        <v>26</v>
      </c>
      <c r="I4" s="2" t="s">
        <v>23</v>
      </c>
      <c r="J4" t="str">
        <f t="shared" ref="J4:J7" si="1">IF(AND(H4="Prepaid",I4="Delivered"),"Eligible","Not Eligible")</f>
        <v>Not Eligible</v>
      </c>
      <c r="L4" s="2">
        <v>102</v>
      </c>
      <c r="M4" s="2" t="s">
        <v>42</v>
      </c>
      <c r="N4" s="2" t="s">
        <v>54</v>
      </c>
      <c r="O4" t="str">
        <f t="shared" ref="O4:O7" si="2">IF(_xlfn.XOR(M4="Yes",N4="Cash"),"Suspicious","ok")</f>
        <v>Suspicious</v>
      </c>
    </row>
    <row r="5" spans="1:15" x14ac:dyDescent="0.25">
      <c r="A5" s="2">
        <v>103</v>
      </c>
      <c r="B5" s="2" t="s">
        <v>2</v>
      </c>
      <c r="C5" s="2">
        <v>500</v>
      </c>
      <c r="D5" t="str">
        <f t="shared" si="0"/>
        <v>High value</v>
      </c>
      <c r="F5" s="2" t="s">
        <v>27</v>
      </c>
      <c r="G5" s="2" t="s">
        <v>28</v>
      </c>
      <c r="H5" s="2" t="s">
        <v>22</v>
      </c>
      <c r="I5" s="2" t="s">
        <v>29</v>
      </c>
      <c r="J5" t="str">
        <f t="shared" si="1"/>
        <v>Not Eligible</v>
      </c>
      <c r="L5" s="2">
        <v>103</v>
      </c>
      <c r="M5" s="2" t="s">
        <v>43</v>
      </c>
      <c r="N5" s="2" t="s">
        <v>53</v>
      </c>
      <c r="O5" t="str">
        <f t="shared" si="2"/>
        <v>Suspicious</v>
      </c>
    </row>
    <row r="6" spans="1:15" x14ac:dyDescent="0.25">
      <c r="A6" s="2">
        <v>104</v>
      </c>
      <c r="B6" s="2" t="s">
        <v>3</v>
      </c>
      <c r="C6" s="2">
        <v>320</v>
      </c>
      <c r="D6" t="str">
        <f t="shared" si="0"/>
        <v>Regular</v>
      </c>
      <c r="F6" s="2" t="s">
        <v>30</v>
      </c>
      <c r="G6" s="2" t="s">
        <v>31</v>
      </c>
      <c r="H6" s="2" t="s">
        <v>22</v>
      </c>
      <c r="I6" s="2" t="s">
        <v>23</v>
      </c>
      <c r="J6" t="str">
        <f t="shared" si="1"/>
        <v>Eligible</v>
      </c>
      <c r="L6" s="2">
        <v>104</v>
      </c>
      <c r="M6" s="2" t="s">
        <v>43</v>
      </c>
      <c r="N6" s="2" t="s">
        <v>54</v>
      </c>
      <c r="O6" t="str">
        <f t="shared" si="2"/>
        <v>ok</v>
      </c>
    </row>
    <row r="7" spans="1:15" x14ac:dyDescent="0.25">
      <c r="A7" s="2">
        <v>105</v>
      </c>
      <c r="B7" s="2" t="s">
        <v>4</v>
      </c>
      <c r="C7" s="2">
        <v>899</v>
      </c>
      <c r="D7" t="str">
        <f t="shared" si="0"/>
        <v>High value</v>
      </c>
      <c r="F7" s="2" t="s">
        <v>32</v>
      </c>
      <c r="G7" s="2" t="s">
        <v>33</v>
      </c>
      <c r="H7" s="2" t="s">
        <v>26</v>
      </c>
      <c r="I7" s="2" t="s">
        <v>34</v>
      </c>
      <c r="J7" t="str">
        <f t="shared" si="1"/>
        <v>Not Eligible</v>
      </c>
      <c r="L7" s="2">
        <v>105</v>
      </c>
      <c r="M7" s="2" t="s">
        <v>42</v>
      </c>
      <c r="N7" s="2" t="s">
        <v>54</v>
      </c>
      <c r="O7" t="str">
        <f t="shared" si="2"/>
        <v>Suspicious</v>
      </c>
    </row>
    <row r="10" spans="1:15" x14ac:dyDescent="0.25">
      <c r="A10" s="6" t="s">
        <v>17</v>
      </c>
      <c r="B10" s="6"/>
      <c r="C10" s="6"/>
      <c r="F10" s="6" t="s">
        <v>38</v>
      </c>
      <c r="G10" s="6"/>
      <c r="H10" s="6"/>
      <c r="I10" s="6"/>
    </row>
    <row r="11" spans="1:15" x14ac:dyDescent="0.25">
      <c r="A11" s="5" t="s">
        <v>9</v>
      </c>
      <c r="B11" s="5" t="s">
        <v>15</v>
      </c>
      <c r="C11" s="5" t="s">
        <v>18</v>
      </c>
      <c r="F11" s="3" t="s">
        <v>39</v>
      </c>
      <c r="G11" s="3" t="s">
        <v>50</v>
      </c>
      <c r="H11" s="3" t="s">
        <v>52</v>
      </c>
      <c r="I11" s="3" t="s">
        <v>51</v>
      </c>
    </row>
    <row r="12" spans="1:15" x14ac:dyDescent="0.25">
      <c r="A12" s="1" t="s">
        <v>10</v>
      </c>
      <c r="B12" s="1">
        <v>1250</v>
      </c>
      <c r="C12" t="str">
        <f>IF(B12&gt;=1000,"STAR",IF(B12&gt;=700,"PRO",IF(B12&gt;=400,"RISING","NEWBIE")))</f>
        <v>STAR</v>
      </c>
      <c r="F12" s="2" t="s">
        <v>40</v>
      </c>
      <c r="G12" s="2" t="s">
        <v>41</v>
      </c>
      <c r="H12" s="2" t="s">
        <v>42</v>
      </c>
      <c r="I12" s="2" t="s">
        <v>43</v>
      </c>
      <c r="J12" t="str">
        <f>IF(OR(H12="Yes",I12="Yes"),"Quick Access","Normal")</f>
        <v>Quick Access</v>
      </c>
    </row>
    <row r="13" spans="1:15" x14ac:dyDescent="0.25">
      <c r="A13" s="1" t="s">
        <v>11</v>
      </c>
      <c r="B13" s="1">
        <v>850</v>
      </c>
      <c r="C13" t="str">
        <f t="shared" ref="C13:C16" si="3">IF(B13&gt;=1000,"STAR",IF(B13&gt;=700,"PRO",IF(B13&gt;=400,"RISING","NEWBIE")))</f>
        <v>PRO</v>
      </c>
      <c r="F13" s="2" t="s">
        <v>44</v>
      </c>
      <c r="G13" s="2" t="s">
        <v>41</v>
      </c>
      <c r="H13" s="2" t="s">
        <v>43</v>
      </c>
      <c r="I13" s="2" t="s">
        <v>43</v>
      </c>
      <c r="J13" t="str">
        <f t="shared" ref="J13:J16" si="4">IF(OR(H13="Yes",I13="Yes"),"Quick Access","Normal")</f>
        <v>Normal</v>
      </c>
    </row>
    <row r="14" spans="1:15" x14ac:dyDescent="0.25">
      <c r="A14" s="1" t="s">
        <v>12</v>
      </c>
      <c r="B14" s="1">
        <v>520</v>
      </c>
      <c r="C14" t="str">
        <f t="shared" si="3"/>
        <v>RISING</v>
      </c>
      <c r="F14" s="2" t="s">
        <v>45</v>
      </c>
      <c r="G14" s="2" t="s">
        <v>41</v>
      </c>
      <c r="H14" s="2" t="s">
        <v>43</v>
      </c>
      <c r="I14" s="2" t="s">
        <v>42</v>
      </c>
      <c r="J14" t="str">
        <f t="shared" si="4"/>
        <v>Quick Access</v>
      </c>
    </row>
    <row r="15" spans="1:15" x14ac:dyDescent="0.25">
      <c r="A15" s="1" t="s">
        <v>13</v>
      </c>
      <c r="B15" s="1">
        <v>310</v>
      </c>
      <c r="C15" t="str">
        <f t="shared" si="3"/>
        <v>NEWBIE</v>
      </c>
      <c r="F15" s="2" t="s">
        <v>46</v>
      </c>
      <c r="G15" s="2" t="s">
        <v>47</v>
      </c>
      <c r="H15" s="2" t="s">
        <v>42</v>
      </c>
      <c r="I15" s="2" t="s">
        <v>42</v>
      </c>
      <c r="J15" t="str">
        <f t="shared" si="4"/>
        <v>Quick Access</v>
      </c>
    </row>
    <row r="16" spans="1:15" x14ac:dyDescent="0.25">
      <c r="A16" s="1" t="s">
        <v>14</v>
      </c>
      <c r="B16" s="1">
        <v>700</v>
      </c>
      <c r="C16" t="str">
        <f t="shared" si="3"/>
        <v>PRO</v>
      </c>
      <c r="F16" s="2" t="s">
        <v>48</v>
      </c>
      <c r="G16" s="2" t="s">
        <v>49</v>
      </c>
      <c r="H16" s="2" t="s">
        <v>43</v>
      </c>
      <c r="I16" s="2" t="s">
        <v>43</v>
      </c>
      <c r="J16" t="str">
        <f t="shared" si="4"/>
        <v>Normal</v>
      </c>
    </row>
  </sheetData>
  <mergeCells count="5">
    <mergeCell ref="A1:D1"/>
    <mergeCell ref="A10:C10"/>
    <mergeCell ref="F1:I1"/>
    <mergeCell ref="F10:I10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SITL1459</dc:creator>
  <cp:lastModifiedBy>SITL1459</cp:lastModifiedBy>
  <dcterms:created xsi:type="dcterms:W3CDTF">2026-10-25T11:00:04Z</dcterms:created>
  <dcterms:modified xsi:type="dcterms:W3CDTF">2026-10-25T11:25:33Z</dcterms:modified>
</cp:coreProperties>
</file>